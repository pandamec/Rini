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4 MethodEntwicklungphase\Interface Study\AP5MEF04\"/>
    </mc:Choice>
  </mc:AlternateContent>
  <xr:revisionPtr revIDLastSave="0" documentId="13_ncr:1_{B49056AF-825B-4C3C-81A3-589176C2EEAC}" xr6:coauthVersionLast="36" xr6:coauthVersionMax="36" xr10:uidLastSave="{00000000-0000-0000-0000-000000000000}"/>
  <bookViews>
    <workbookView xWindow="0" yWindow="0" windowWidth="28800" windowHeight="11325" xr2:uid="{C7235D5C-96EC-45E2-9C6F-6CF1FAF5FC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2" i="1"/>
  <c r="O7" i="1" l="1"/>
  <c r="R7" i="1" s="1"/>
  <c r="R3" i="1"/>
  <c r="R4" i="1"/>
  <c r="R5" i="1"/>
  <c r="R6" i="1"/>
  <c r="R8" i="1"/>
  <c r="R9" i="1"/>
  <c r="R10" i="1"/>
  <c r="R11" i="1"/>
  <c r="R12" i="1"/>
  <c r="R13" i="1"/>
  <c r="R14" i="1"/>
  <c r="R15" i="1"/>
  <c r="R16" i="1"/>
  <c r="R1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2" i="1"/>
</calcChain>
</file>

<file path=xl/sharedStrings.xml><?xml version="1.0" encoding="utf-8"?>
<sst xmlns="http://schemas.openxmlformats.org/spreadsheetml/2006/main" count="74" uniqueCount="33">
  <si>
    <t>Name</t>
  </si>
  <si>
    <t>d</t>
  </si>
  <si>
    <t>N</t>
  </si>
  <si>
    <t>Sample</t>
  </si>
  <si>
    <t>A</t>
  </si>
  <si>
    <t>B</t>
  </si>
  <si>
    <t>f</t>
  </si>
  <si>
    <t>a</t>
  </si>
  <si>
    <t>a0Links</t>
  </si>
  <si>
    <t>a0Rechts</t>
  </si>
  <si>
    <t>afLinks</t>
  </si>
  <si>
    <t>afRechts</t>
  </si>
  <si>
    <t>a0Mitte</t>
  </si>
  <si>
    <t>afMitte</t>
  </si>
  <si>
    <t>s</t>
  </si>
  <si>
    <t>Temperature</t>
  </si>
  <si>
    <t>Raum</t>
  </si>
  <si>
    <t>Naccu</t>
  </si>
  <si>
    <t>Obs</t>
  </si>
  <si>
    <t>Delta</t>
  </si>
  <si>
    <t>aiLinks</t>
  </si>
  <si>
    <t>aiMitte</t>
  </si>
  <si>
    <t>aiRechts</t>
  </si>
  <si>
    <t>DeltaAccu</t>
  </si>
  <si>
    <t>260217-1_A</t>
  </si>
  <si>
    <t>260217-1_B</t>
  </si>
  <si>
    <t>260217-2_A</t>
  </si>
  <si>
    <t>260217-2_B</t>
  </si>
  <si>
    <t>Corrected initial 23,17</t>
  </si>
  <si>
    <t>Replaced by other point in the length</t>
  </si>
  <si>
    <t>dadN</t>
  </si>
  <si>
    <t>Corrected to 1000 "effective cycle"</t>
  </si>
  <si>
    <t>Corrected to 5000 "effective cycle"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</si>
</sst>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534A-AC8F-44D1-B8CA-243E822B2A4B}">
  <dimension ref="A1:V17"/>
  <sheetViews>
    <sheetView tabSelected="1" topLeftCell="C1" zoomScaleNormal="100" workbookViewId="0">
      <selection activeCell="S16" sqref="S16"/>
    </sheetView>
  </sheetViews>
  <sheetFormatPr defaultRowHeight="15" x14ac:dyDescent="0.25"/>
  <cols>
    <col min="1" max="1" width="11" style="2" bestFit="1" customWidth="1"/>
    <col min="2" max="2" width="11" style="2" customWidth="1"/>
    <col min="3" max="3" width="12.5703125" style="2" customWidth="1"/>
    <col min="4" max="5" width="4" style="2" bestFit="1" customWidth="1"/>
    <col min="6" max="6" width="3" style="2" bestFit="1" customWidth="1"/>
    <col min="7" max="10" width="9.140625" style="2" customWidth="1"/>
    <col min="11" max="15" width="13.28515625" style="2" customWidth="1"/>
    <col min="16" max="17" width="9.140625" style="2"/>
    <col min="18" max="18" width="9.85546875" style="2" bestFit="1" customWidth="1"/>
    <col min="19" max="20" width="9.140625" style="2"/>
    <col min="22" max="22" width="34.7109375" bestFit="1" customWidth="1"/>
  </cols>
  <sheetData>
    <row r="1" spans="1:22" x14ac:dyDescent="0.25">
      <c r="A1" s="1" t="s">
        <v>0</v>
      </c>
      <c r="B1" s="1" t="s">
        <v>3</v>
      </c>
      <c r="C1" s="1" t="s">
        <v>15</v>
      </c>
      <c r="D1" s="1" t="s">
        <v>7</v>
      </c>
      <c r="E1" s="1" t="s">
        <v>14</v>
      </c>
      <c r="F1" s="1" t="s">
        <v>1</v>
      </c>
      <c r="G1" s="1" t="s">
        <v>6</v>
      </c>
      <c r="H1" s="1" t="s">
        <v>8</v>
      </c>
      <c r="I1" s="1" t="s">
        <v>12</v>
      </c>
      <c r="J1" s="1" t="s">
        <v>9</v>
      </c>
      <c r="K1" s="1" t="s">
        <v>20</v>
      </c>
      <c r="L1" s="1" t="s">
        <v>21</v>
      </c>
      <c r="M1" s="1" t="s">
        <v>22</v>
      </c>
      <c r="N1" s="1" t="s">
        <v>10</v>
      </c>
      <c r="O1" s="1" t="s">
        <v>13</v>
      </c>
      <c r="P1" s="1" t="s">
        <v>11</v>
      </c>
      <c r="Q1" s="1" t="s">
        <v>19</v>
      </c>
      <c r="R1" s="1" t="s">
        <v>23</v>
      </c>
      <c r="S1" s="1" t="s">
        <v>2</v>
      </c>
      <c r="T1" s="1" t="s">
        <v>30</v>
      </c>
      <c r="U1" s="1" t="s">
        <v>17</v>
      </c>
      <c r="V1" s="4" t="s">
        <v>18</v>
      </c>
    </row>
    <row r="2" spans="1:22" x14ac:dyDescent="0.25">
      <c r="A2" s="1" t="s">
        <v>24</v>
      </c>
      <c r="B2" s="1" t="s">
        <v>4</v>
      </c>
      <c r="C2" s="1" t="s">
        <v>16</v>
      </c>
      <c r="D2" s="1">
        <v>0.8</v>
      </c>
      <c r="E2" s="1">
        <v>1</v>
      </c>
      <c r="F2" s="1">
        <v>25</v>
      </c>
      <c r="G2" s="1">
        <v>1.2</v>
      </c>
      <c r="H2" s="1">
        <v>108.2</v>
      </c>
      <c r="I2" s="1">
        <v>17.91</v>
      </c>
      <c r="J2" s="1">
        <v>23.1</v>
      </c>
      <c r="K2" s="1">
        <v>108.2</v>
      </c>
      <c r="L2" s="1">
        <v>17.91</v>
      </c>
      <c r="M2" s="1">
        <v>23.1</v>
      </c>
      <c r="N2" s="1">
        <v>87.98</v>
      </c>
      <c r="O2" s="1">
        <v>21.64</v>
      </c>
      <c r="P2" s="1">
        <v>32.64</v>
      </c>
      <c r="Q2" s="1">
        <f>+O2-L2</f>
        <v>3.7300000000000004</v>
      </c>
      <c r="R2" s="1">
        <f>+O2-I2</f>
        <v>3.7300000000000004</v>
      </c>
      <c r="S2" s="1">
        <v>1000</v>
      </c>
      <c r="T2" s="1">
        <f>+Q2*1000/S2</f>
        <v>3.7300000000000004</v>
      </c>
      <c r="U2" s="1">
        <v>5000</v>
      </c>
      <c r="V2" s="5" t="s">
        <v>31</v>
      </c>
    </row>
    <row r="3" spans="1:22" x14ac:dyDescent="0.25">
      <c r="A3" s="1" t="s">
        <v>25</v>
      </c>
      <c r="B3" s="1" t="s">
        <v>5</v>
      </c>
      <c r="C3" s="1" t="s">
        <v>16</v>
      </c>
      <c r="D3" s="1">
        <v>0.8</v>
      </c>
      <c r="E3" s="1">
        <v>1</v>
      </c>
      <c r="F3" s="1">
        <v>25</v>
      </c>
      <c r="G3" s="1">
        <v>1.2</v>
      </c>
      <c r="H3" s="1">
        <v>98.21</v>
      </c>
      <c r="I3" s="1">
        <v>16.420000000000002</v>
      </c>
      <c r="J3" s="1">
        <v>25.7</v>
      </c>
      <c r="K3" s="1">
        <v>98.21</v>
      </c>
      <c r="L3" s="1">
        <v>16.420000000000002</v>
      </c>
      <c r="M3" s="1">
        <v>25.7</v>
      </c>
      <c r="N3" s="1">
        <v>90.01</v>
      </c>
      <c r="O3" s="1">
        <v>24.7</v>
      </c>
      <c r="P3" s="1">
        <v>31.77</v>
      </c>
      <c r="Q3" s="1">
        <f t="shared" ref="Q3:Q17" si="0">+O3-L3</f>
        <v>8.2799999999999976</v>
      </c>
      <c r="R3" s="1">
        <f t="shared" ref="R3:R17" si="1">+O3-I3</f>
        <v>8.2799999999999976</v>
      </c>
      <c r="S3" s="1">
        <v>1000</v>
      </c>
      <c r="T3" s="1">
        <f t="shared" ref="T3:T17" si="2">+Q3*1000/S3</f>
        <v>8.2799999999999976</v>
      </c>
      <c r="U3" s="1">
        <v>5000</v>
      </c>
      <c r="V3" s="5"/>
    </row>
    <row r="4" spans="1:22" x14ac:dyDescent="0.25">
      <c r="A4" s="1" t="s">
        <v>26</v>
      </c>
      <c r="B4" s="1" t="s">
        <v>4</v>
      </c>
      <c r="C4" s="1" t="s">
        <v>16</v>
      </c>
      <c r="D4" s="1">
        <v>0.8</v>
      </c>
      <c r="E4" s="1">
        <v>1</v>
      </c>
      <c r="F4" s="1">
        <v>25</v>
      </c>
      <c r="G4" s="1">
        <v>1.2</v>
      </c>
      <c r="H4" s="1">
        <v>68.87</v>
      </c>
      <c r="I4" s="1">
        <v>9.84</v>
      </c>
      <c r="J4" s="1">
        <v>16.32</v>
      </c>
      <c r="K4" s="1">
        <v>68.87</v>
      </c>
      <c r="L4" s="1">
        <v>9.84</v>
      </c>
      <c r="M4" s="1">
        <v>16.32</v>
      </c>
      <c r="N4" s="1">
        <v>67.459999999999994</v>
      </c>
      <c r="O4" s="1">
        <v>15.93</v>
      </c>
      <c r="P4" s="1"/>
      <c r="Q4" s="1">
        <f t="shared" si="0"/>
        <v>6.09</v>
      </c>
      <c r="R4" s="1">
        <f t="shared" si="1"/>
        <v>6.09</v>
      </c>
      <c r="S4" s="1">
        <v>1000</v>
      </c>
      <c r="T4" s="1">
        <f t="shared" si="2"/>
        <v>6.09</v>
      </c>
      <c r="U4" s="1">
        <v>5000</v>
      </c>
      <c r="V4" s="5"/>
    </row>
    <row r="5" spans="1:22" x14ac:dyDescent="0.25">
      <c r="A5" s="1" t="s">
        <v>27</v>
      </c>
      <c r="B5" s="1" t="s">
        <v>5</v>
      </c>
      <c r="C5" s="1" t="s">
        <v>16</v>
      </c>
      <c r="D5" s="1">
        <v>0.8</v>
      </c>
      <c r="E5" s="1">
        <v>1</v>
      </c>
      <c r="F5" s="1">
        <v>25</v>
      </c>
      <c r="G5" s="1">
        <v>1.2</v>
      </c>
      <c r="H5" s="1">
        <v>105.3</v>
      </c>
      <c r="I5" s="1">
        <v>11.07</v>
      </c>
      <c r="J5" s="1">
        <v>25.39</v>
      </c>
      <c r="K5" s="1">
        <v>105.3</v>
      </c>
      <c r="L5" s="1">
        <v>11.07</v>
      </c>
      <c r="M5" s="1">
        <v>25.39</v>
      </c>
      <c r="N5" s="1">
        <v>102.59</v>
      </c>
      <c r="O5" s="1">
        <v>17.010000000000002</v>
      </c>
      <c r="P5" s="1">
        <v>27.32</v>
      </c>
      <c r="Q5" s="1">
        <f t="shared" si="0"/>
        <v>5.9400000000000013</v>
      </c>
      <c r="R5" s="1">
        <f t="shared" si="1"/>
        <v>5.9400000000000013</v>
      </c>
      <c r="S5" s="1">
        <v>1000</v>
      </c>
      <c r="T5" s="1">
        <f t="shared" si="2"/>
        <v>5.9400000000000013</v>
      </c>
      <c r="U5" s="1">
        <v>5000</v>
      </c>
      <c r="V5" s="5"/>
    </row>
    <row r="6" spans="1:22" x14ac:dyDescent="0.25">
      <c r="A6" s="1" t="s">
        <v>24</v>
      </c>
      <c r="B6" s="1" t="s">
        <v>4</v>
      </c>
      <c r="C6" s="1" t="s">
        <v>16</v>
      </c>
      <c r="D6" s="1">
        <v>0.8</v>
      </c>
      <c r="E6" s="1">
        <v>1</v>
      </c>
      <c r="F6" s="1">
        <v>25</v>
      </c>
      <c r="G6" s="1">
        <v>1.2</v>
      </c>
      <c r="H6" s="1">
        <v>108.2</v>
      </c>
      <c r="I6" s="1">
        <v>17.91</v>
      </c>
      <c r="J6" s="1">
        <v>23.1</v>
      </c>
      <c r="K6" s="1">
        <v>87.98</v>
      </c>
      <c r="L6" s="1">
        <v>21.64</v>
      </c>
      <c r="M6" s="1">
        <v>32.64</v>
      </c>
      <c r="N6" s="1">
        <v>88.44</v>
      </c>
      <c r="O6" s="1">
        <v>26.84</v>
      </c>
      <c r="P6" s="1">
        <v>41.91</v>
      </c>
      <c r="Q6" s="1">
        <f t="shared" si="0"/>
        <v>5.1999999999999993</v>
      </c>
      <c r="R6" s="1">
        <f t="shared" si="1"/>
        <v>8.93</v>
      </c>
      <c r="S6" s="1">
        <v>10000</v>
      </c>
      <c r="T6" s="1">
        <f t="shared" si="2"/>
        <v>0.51999999999999991</v>
      </c>
      <c r="U6" s="1">
        <v>15000</v>
      </c>
      <c r="V6" s="5"/>
    </row>
    <row r="7" spans="1:22" x14ac:dyDescent="0.25">
      <c r="A7" s="1" t="s">
        <v>25</v>
      </c>
      <c r="B7" s="1" t="s">
        <v>5</v>
      </c>
      <c r="C7" s="1" t="s">
        <v>16</v>
      </c>
      <c r="D7" s="1">
        <v>0.8</v>
      </c>
      <c r="E7" s="1">
        <v>1</v>
      </c>
      <c r="F7" s="1">
        <v>25</v>
      </c>
      <c r="G7" s="1">
        <v>1.2</v>
      </c>
      <c r="H7" s="1">
        <v>98.21</v>
      </c>
      <c r="I7" s="1">
        <v>16.420000000000002</v>
      </c>
      <c r="J7" s="1">
        <v>25.7</v>
      </c>
      <c r="K7" s="1">
        <v>90.01</v>
      </c>
      <c r="L7" s="1">
        <v>24.7</v>
      </c>
      <c r="M7" s="1">
        <v>31.77</v>
      </c>
      <c r="N7" s="1">
        <v>92.77</v>
      </c>
      <c r="O7" s="3">
        <f>+L7+P7-M7</f>
        <v>28.37</v>
      </c>
      <c r="P7" s="1">
        <v>35.44</v>
      </c>
      <c r="Q7" s="1">
        <f t="shared" si="0"/>
        <v>3.6700000000000017</v>
      </c>
      <c r="R7" s="1">
        <f t="shared" si="1"/>
        <v>11.95</v>
      </c>
      <c r="S7" s="1">
        <v>10000</v>
      </c>
      <c r="T7" s="1">
        <f t="shared" si="2"/>
        <v>0.36700000000000016</v>
      </c>
      <c r="U7" s="1">
        <v>15000</v>
      </c>
      <c r="V7" s="5" t="s">
        <v>28</v>
      </c>
    </row>
    <row r="8" spans="1:22" x14ac:dyDescent="0.25">
      <c r="A8" s="1" t="s">
        <v>26</v>
      </c>
      <c r="B8" s="1" t="s">
        <v>4</v>
      </c>
      <c r="C8" s="1" t="s">
        <v>16</v>
      </c>
      <c r="D8" s="1">
        <v>0.8</v>
      </c>
      <c r="E8" s="1">
        <v>1</v>
      </c>
      <c r="F8" s="1">
        <v>25</v>
      </c>
      <c r="G8" s="1">
        <v>1.2</v>
      </c>
      <c r="H8" s="1">
        <v>68.87</v>
      </c>
      <c r="I8" s="1">
        <v>9.84</v>
      </c>
      <c r="J8" s="1">
        <v>16.32</v>
      </c>
      <c r="K8" s="1">
        <v>67.459999999999994</v>
      </c>
      <c r="L8" s="1">
        <v>15.93</v>
      </c>
      <c r="M8" s="1"/>
      <c r="N8" s="1">
        <v>31.67</v>
      </c>
      <c r="O8" s="1">
        <v>20.39</v>
      </c>
      <c r="P8" s="1">
        <v>16.507000000000001</v>
      </c>
      <c r="Q8" s="1">
        <f t="shared" si="0"/>
        <v>4.4600000000000009</v>
      </c>
      <c r="R8" s="1">
        <f t="shared" si="1"/>
        <v>10.55</v>
      </c>
      <c r="S8" s="1">
        <v>10000</v>
      </c>
      <c r="T8" s="1">
        <f t="shared" si="2"/>
        <v>0.44600000000000012</v>
      </c>
      <c r="U8" s="1">
        <v>15000</v>
      </c>
      <c r="V8" s="5"/>
    </row>
    <row r="9" spans="1:22" x14ac:dyDescent="0.25">
      <c r="A9" s="1" t="s">
        <v>27</v>
      </c>
      <c r="B9" s="1" t="s">
        <v>5</v>
      </c>
      <c r="C9" s="1" t="s">
        <v>16</v>
      </c>
      <c r="D9" s="1">
        <v>0.8</v>
      </c>
      <c r="E9" s="1">
        <v>1</v>
      </c>
      <c r="F9" s="1">
        <v>25</v>
      </c>
      <c r="G9" s="1">
        <v>1.2</v>
      </c>
      <c r="H9" s="1">
        <v>105.3</v>
      </c>
      <c r="I9" s="1">
        <v>11.07</v>
      </c>
      <c r="J9" s="1">
        <v>25.39</v>
      </c>
      <c r="K9" s="1">
        <v>102.59</v>
      </c>
      <c r="L9" s="1">
        <v>17.010000000000002</v>
      </c>
      <c r="M9" s="1">
        <v>27.32</v>
      </c>
      <c r="N9" s="1">
        <v>85.75</v>
      </c>
      <c r="O9" s="1">
        <v>20.46</v>
      </c>
      <c r="P9" s="1">
        <v>76.7</v>
      </c>
      <c r="Q9" s="1">
        <f t="shared" si="0"/>
        <v>3.4499999999999993</v>
      </c>
      <c r="R9" s="1">
        <f t="shared" si="1"/>
        <v>9.39</v>
      </c>
      <c r="S9" s="1">
        <v>10000</v>
      </c>
      <c r="T9" s="1">
        <f t="shared" si="2"/>
        <v>0.34499999999999992</v>
      </c>
      <c r="U9" s="1">
        <v>15000</v>
      </c>
      <c r="V9" s="5"/>
    </row>
    <row r="10" spans="1:22" x14ac:dyDescent="0.25">
      <c r="A10" s="1" t="s">
        <v>24</v>
      </c>
      <c r="B10" s="1" t="s">
        <v>4</v>
      </c>
      <c r="C10" s="1" t="s">
        <v>16</v>
      </c>
      <c r="D10" s="1">
        <v>1.3</v>
      </c>
      <c r="E10" s="1">
        <v>1.5</v>
      </c>
      <c r="F10" s="1">
        <v>25</v>
      </c>
      <c r="G10" s="1">
        <v>1.2</v>
      </c>
      <c r="H10" s="1">
        <v>108.2</v>
      </c>
      <c r="I10" s="1">
        <v>17.91</v>
      </c>
      <c r="J10" s="1">
        <v>23.1</v>
      </c>
      <c r="K10" s="1">
        <v>88.44</v>
      </c>
      <c r="L10" s="1">
        <v>26.84</v>
      </c>
      <c r="M10" s="1">
        <v>41.91</v>
      </c>
      <c r="N10" s="1">
        <v>97.54</v>
      </c>
      <c r="O10" s="1">
        <v>28.75</v>
      </c>
      <c r="P10" s="1">
        <v>56.38</v>
      </c>
      <c r="Q10" s="1">
        <f t="shared" si="0"/>
        <v>1.9100000000000001</v>
      </c>
      <c r="R10" s="1">
        <f t="shared" si="1"/>
        <v>10.84</v>
      </c>
      <c r="S10" s="1">
        <v>1000</v>
      </c>
      <c r="T10" s="1">
        <f t="shared" si="2"/>
        <v>1.9100000000000001</v>
      </c>
      <c r="U10" s="1">
        <v>35000</v>
      </c>
      <c r="V10" s="5" t="s">
        <v>32</v>
      </c>
    </row>
    <row r="11" spans="1:22" x14ac:dyDescent="0.25">
      <c r="A11" s="1" t="s">
        <v>25</v>
      </c>
      <c r="B11" s="1" t="s">
        <v>5</v>
      </c>
      <c r="C11" s="1" t="s">
        <v>16</v>
      </c>
      <c r="D11" s="1">
        <v>1.3</v>
      </c>
      <c r="E11" s="1">
        <v>1.5</v>
      </c>
      <c r="F11" s="1">
        <v>25</v>
      </c>
      <c r="G11" s="1">
        <v>1.2</v>
      </c>
      <c r="H11" s="1">
        <v>98.21</v>
      </c>
      <c r="I11" s="1">
        <v>16.420000000000002</v>
      </c>
      <c r="J11" s="1">
        <v>25.7</v>
      </c>
      <c r="K11" s="1">
        <v>92.77</v>
      </c>
      <c r="L11" s="1">
        <v>23.17</v>
      </c>
      <c r="M11" s="1">
        <v>35.44</v>
      </c>
      <c r="N11" s="1">
        <v>89.89</v>
      </c>
      <c r="O11" s="1">
        <v>26.51</v>
      </c>
      <c r="P11" s="1">
        <v>45.52</v>
      </c>
      <c r="Q11" s="1">
        <f t="shared" si="0"/>
        <v>3.34</v>
      </c>
      <c r="R11" s="1">
        <f t="shared" si="1"/>
        <v>10.09</v>
      </c>
      <c r="S11" s="1">
        <v>1000</v>
      </c>
      <c r="T11" s="1">
        <f t="shared" si="2"/>
        <v>3.34</v>
      </c>
      <c r="U11" s="1">
        <v>35000</v>
      </c>
      <c r="V11" s="5"/>
    </row>
    <row r="12" spans="1:22" x14ac:dyDescent="0.25">
      <c r="A12" s="1" t="s">
        <v>26</v>
      </c>
      <c r="B12" s="1" t="s">
        <v>4</v>
      </c>
      <c r="C12" s="1" t="s">
        <v>16</v>
      </c>
      <c r="D12" s="1">
        <v>1.3</v>
      </c>
      <c r="E12" s="1">
        <v>1.5</v>
      </c>
      <c r="F12" s="1">
        <v>25</v>
      </c>
      <c r="G12" s="1">
        <v>1.2</v>
      </c>
      <c r="H12" s="1">
        <v>68.87</v>
      </c>
      <c r="I12" s="1">
        <v>9.84</v>
      </c>
      <c r="J12" s="1">
        <v>16.32</v>
      </c>
      <c r="K12" s="1">
        <v>31.67</v>
      </c>
      <c r="L12" s="1">
        <v>20.39</v>
      </c>
      <c r="M12" s="1">
        <v>16.507000000000001</v>
      </c>
      <c r="N12" s="1">
        <v>70.42</v>
      </c>
      <c r="O12" s="1">
        <v>25.52</v>
      </c>
      <c r="P12" s="1">
        <v>34.43</v>
      </c>
      <c r="Q12" s="1">
        <f t="shared" si="0"/>
        <v>5.129999999999999</v>
      </c>
      <c r="R12" s="1">
        <f t="shared" si="1"/>
        <v>15.68</v>
      </c>
      <c r="S12" s="1">
        <v>1000</v>
      </c>
      <c r="T12" s="1">
        <f t="shared" si="2"/>
        <v>5.129999999999999</v>
      </c>
      <c r="U12" s="1">
        <v>35000</v>
      </c>
      <c r="V12" s="5"/>
    </row>
    <row r="13" spans="1:22" x14ac:dyDescent="0.25">
      <c r="A13" s="1" t="s">
        <v>27</v>
      </c>
      <c r="B13" s="1" t="s">
        <v>5</v>
      </c>
      <c r="C13" s="1" t="s">
        <v>16</v>
      </c>
      <c r="D13" s="1">
        <v>1.3</v>
      </c>
      <c r="E13" s="1">
        <v>1.5</v>
      </c>
      <c r="F13" s="1">
        <v>25</v>
      </c>
      <c r="G13" s="1">
        <v>1.2</v>
      </c>
      <c r="H13" s="1">
        <v>105.3</v>
      </c>
      <c r="I13" s="1">
        <v>11.07</v>
      </c>
      <c r="J13" s="1">
        <v>25.39</v>
      </c>
      <c r="K13" s="1">
        <v>85.75</v>
      </c>
      <c r="L13" s="1">
        <v>20.46</v>
      </c>
      <c r="M13" s="1">
        <v>76.7</v>
      </c>
      <c r="N13" s="1">
        <v>96.85</v>
      </c>
      <c r="O13" s="3">
        <v>23.72</v>
      </c>
      <c r="P13" s="1">
        <v>50.67</v>
      </c>
      <c r="Q13" s="1">
        <f t="shared" si="0"/>
        <v>3.259999999999998</v>
      </c>
      <c r="R13" s="1">
        <f t="shared" si="1"/>
        <v>12.649999999999999</v>
      </c>
      <c r="S13" s="1">
        <v>1000</v>
      </c>
      <c r="T13" s="1">
        <f t="shared" si="2"/>
        <v>3.259999999999998</v>
      </c>
      <c r="U13" s="1">
        <v>35000</v>
      </c>
      <c r="V13" s="5"/>
    </row>
    <row r="14" spans="1:22" x14ac:dyDescent="0.25">
      <c r="A14" s="1" t="s">
        <v>24</v>
      </c>
      <c r="B14" s="1" t="s">
        <v>4</v>
      </c>
      <c r="C14" s="1" t="s">
        <v>16</v>
      </c>
      <c r="D14" s="1">
        <v>1.8</v>
      </c>
      <c r="E14" s="1">
        <v>2</v>
      </c>
      <c r="F14" s="1">
        <v>25</v>
      </c>
      <c r="G14" s="1">
        <v>1.2</v>
      </c>
      <c r="H14" s="1">
        <v>108.2</v>
      </c>
      <c r="I14" s="1">
        <v>17.91</v>
      </c>
      <c r="J14" s="1">
        <v>23.1</v>
      </c>
      <c r="K14" s="1">
        <v>97.54</v>
      </c>
      <c r="L14" s="1">
        <v>28.75</v>
      </c>
      <c r="M14" s="4">
        <v>56.38</v>
      </c>
      <c r="N14" s="4">
        <v>88.35</v>
      </c>
      <c r="O14" s="4">
        <v>30.16</v>
      </c>
      <c r="P14" s="4">
        <v>57.2</v>
      </c>
      <c r="Q14" s="4">
        <f t="shared" si="0"/>
        <v>1.4100000000000001</v>
      </c>
      <c r="R14" s="1">
        <f t="shared" si="1"/>
        <v>12.25</v>
      </c>
      <c r="S14" s="1">
        <v>1000</v>
      </c>
      <c r="T14" s="1">
        <f t="shared" si="2"/>
        <v>1.4100000000000001</v>
      </c>
      <c r="U14" s="1">
        <v>55000</v>
      </c>
      <c r="V14" s="5"/>
    </row>
    <row r="15" spans="1:22" x14ac:dyDescent="0.25">
      <c r="A15" s="1" t="s">
        <v>25</v>
      </c>
      <c r="B15" s="1" t="s">
        <v>5</v>
      </c>
      <c r="C15" s="1" t="s">
        <v>16</v>
      </c>
      <c r="D15" s="1">
        <v>1.8</v>
      </c>
      <c r="E15" s="1">
        <v>2</v>
      </c>
      <c r="F15" s="1">
        <v>25</v>
      </c>
      <c r="G15" s="1">
        <v>1.2</v>
      </c>
      <c r="H15" s="1">
        <v>98.21</v>
      </c>
      <c r="I15" s="1">
        <v>16.420000000000002</v>
      </c>
      <c r="J15" s="1">
        <v>25.7</v>
      </c>
      <c r="K15" s="1">
        <v>89.89</v>
      </c>
      <c r="L15" s="1">
        <v>26.51</v>
      </c>
      <c r="M15" s="4">
        <v>45.52</v>
      </c>
      <c r="N15" s="4">
        <v>93.92</v>
      </c>
      <c r="O15" s="4">
        <v>29.86</v>
      </c>
      <c r="P15" s="4">
        <v>57.05</v>
      </c>
      <c r="Q15" s="4">
        <f t="shared" si="0"/>
        <v>3.3499999999999979</v>
      </c>
      <c r="R15" s="1">
        <f t="shared" si="1"/>
        <v>13.439999999999998</v>
      </c>
      <c r="S15" s="1">
        <v>1000</v>
      </c>
      <c r="T15" s="1">
        <f t="shared" si="2"/>
        <v>3.3499999999999979</v>
      </c>
      <c r="U15" s="1">
        <v>55000</v>
      </c>
      <c r="V15" s="5"/>
    </row>
    <row r="16" spans="1:22" x14ac:dyDescent="0.25">
      <c r="A16" s="1" t="s">
        <v>26</v>
      </c>
      <c r="B16" s="1" t="s">
        <v>4</v>
      </c>
      <c r="C16" s="1" t="s">
        <v>16</v>
      </c>
      <c r="D16" s="1">
        <v>1.8</v>
      </c>
      <c r="E16" s="1">
        <v>2</v>
      </c>
      <c r="F16" s="1">
        <v>25</v>
      </c>
      <c r="G16" s="1">
        <v>1.2</v>
      </c>
      <c r="H16" s="1">
        <v>68.87</v>
      </c>
      <c r="I16" s="1">
        <v>9.84</v>
      </c>
      <c r="J16" s="1">
        <v>16.32</v>
      </c>
      <c r="K16" s="1">
        <v>70.42</v>
      </c>
      <c r="L16" s="1">
        <v>25.52</v>
      </c>
      <c r="M16" s="4">
        <v>34.43</v>
      </c>
      <c r="N16" s="4">
        <v>74.23</v>
      </c>
      <c r="O16" s="4">
        <v>33.35</v>
      </c>
      <c r="P16" s="4">
        <v>40.17</v>
      </c>
      <c r="Q16" s="4">
        <f t="shared" si="0"/>
        <v>7.8300000000000018</v>
      </c>
      <c r="R16" s="1">
        <f t="shared" si="1"/>
        <v>23.51</v>
      </c>
      <c r="S16" s="1">
        <v>1000</v>
      </c>
      <c r="T16" s="1">
        <f t="shared" si="2"/>
        <v>7.8300000000000018</v>
      </c>
      <c r="U16" s="1">
        <v>55000</v>
      </c>
      <c r="V16" s="5"/>
    </row>
    <row r="17" spans="1:22" x14ac:dyDescent="0.25">
      <c r="A17" s="1" t="s">
        <v>27</v>
      </c>
      <c r="B17" s="1" t="s">
        <v>5</v>
      </c>
      <c r="C17" s="1" t="s">
        <v>16</v>
      </c>
      <c r="D17" s="1">
        <v>1.8</v>
      </c>
      <c r="E17" s="1">
        <v>2</v>
      </c>
      <c r="F17" s="1">
        <v>25</v>
      </c>
      <c r="G17" s="1">
        <v>1.2</v>
      </c>
      <c r="H17" s="1">
        <v>105.3</v>
      </c>
      <c r="I17" s="1">
        <v>11.07</v>
      </c>
      <c r="J17" s="1">
        <v>25.39</v>
      </c>
      <c r="K17" s="1">
        <v>96.85</v>
      </c>
      <c r="L17" s="3">
        <v>53.44</v>
      </c>
      <c r="M17" s="4">
        <v>50.67</v>
      </c>
      <c r="N17" s="4">
        <v>95.99</v>
      </c>
      <c r="O17" s="4">
        <v>56.603000000000002</v>
      </c>
      <c r="P17" s="4">
        <v>44.78</v>
      </c>
      <c r="Q17" s="4">
        <f t="shared" si="0"/>
        <v>3.1630000000000038</v>
      </c>
      <c r="R17" s="1">
        <f t="shared" si="1"/>
        <v>45.533000000000001</v>
      </c>
      <c r="S17" s="1">
        <v>1000</v>
      </c>
      <c r="T17" s="1">
        <f t="shared" si="2"/>
        <v>3.1630000000000038</v>
      </c>
      <c r="U17" s="1">
        <v>55000</v>
      </c>
      <c r="V17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2025-09-13T12:41:34Z</dcterms:created>
  <dcterms:modified xsi:type="dcterms:W3CDTF">2026-03-03T14:47:42Z</dcterms:modified>
</cp:coreProperties>
</file>